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858\Desktop\大图\"/>
    </mc:Choice>
  </mc:AlternateContent>
  <xr:revisionPtr revIDLastSave="0" documentId="13_ncr:1_{753A1A82-85A5-4768-A150-489C347099F2}" xr6:coauthVersionLast="47" xr6:coauthVersionMax="47" xr10:uidLastSave="{00000000-0000-0000-0000-000000000000}"/>
  <bookViews>
    <workbookView xWindow="3348" yWindow="2760" windowWidth="17280" windowHeight="8916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3" i="2"/>
  <c r="R6" i="2"/>
  <c r="R5" i="2"/>
  <c r="R4" i="2"/>
  <c r="R3" i="2"/>
  <c r="R2" i="2"/>
  <c r="P2" i="2"/>
  <c r="Q2" i="2" s="1"/>
  <c r="P3" i="2" s="1"/>
  <c r="G3" i="2" s="1"/>
  <c r="Q3" i="1"/>
  <c r="Q7" i="1"/>
  <c r="Q2" i="1"/>
  <c r="V3" i="1"/>
  <c r="T7" i="1"/>
  <c r="W7" i="1" s="1"/>
  <c r="R3" i="1"/>
  <c r="R4" i="1"/>
  <c r="R7" i="1"/>
  <c r="R5" i="1"/>
  <c r="R6" i="1"/>
  <c r="R9" i="1"/>
  <c r="R10" i="1"/>
  <c r="R8" i="1"/>
  <c r="R11" i="1"/>
  <c r="R2" i="1"/>
  <c r="P3" i="1"/>
  <c r="T3" i="1" s="1"/>
  <c r="W3" i="1" s="1"/>
  <c r="P4" i="1"/>
  <c r="S4" i="1" s="1"/>
  <c r="P7" i="1"/>
  <c r="S7" i="1" s="1"/>
  <c r="P5" i="1"/>
  <c r="S5" i="1" s="1"/>
  <c r="P6" i="1"/>
  <c r="S6" i="1" s="1"/>
  <c r="P9" i="1"/>
  <c r="S9" i="1" s="1"/>
  <c r="P10" i="1"/>
  <c r="T10" i="1" s="1"/>
  <c r="P8" i="1"/>
  <c r="S8" i="1" s="1"/>
  <c r="P11" i="1"/>
  <c r="T11" i="1" s="1"/>
  <c r="P2" i="1"/>
  <c r="S2" i="1" s="1"/>
  <c r="Q9" i="1" l="1"/>
  <c r="Q8" i="1"/>
  <c r="T9" i="1"/>
  <c r="W9" i="1" s="1"/>
  <c r="T8" i="1"/>
  <c r="W8" i="1" s="1"/>
  <c r="Q6" i="1"/>
  <c r="T6" i="1"/>
  <c r="U6" i="1" s="1"/>
  <c r="Q5" i="1"/>
  <c r="T5" i="1"/>
  <c r="W5" i="1" s="1"/>
  <c r="Q11" i="1"/>
  <c r="S10" i="1"/>
  <c r="Q10" i="1"/>
  <c r="S2" i="2"/>
  <c r="T2" i="2"/>
  <c r="Q3" i="2"/>
  <c r="Q4" i="1"/>
  <c r="W11" i="1"/>
  <c r="U11" i="1"/>
  <c r="V11" i="1"/>
  <c r="W10" i="1"/>
  <c r="U10" i="1"/>
  <c r="V10" i="1"/>
  <c r="V7" i="1"/>
  <c r="S11" i="1"/>
  <c r="V5" i="1"/>
  <c r="U8" i="1"/>
  <c r="U7" i="1"/>
  <c r="T2" i="1"/>
  <c r="U5" i="1"/>
  <c r="U3" i="1"/>
  <c r="T4" i="1"/>
  <c r="W4" i="1" s="1"/>
  <c r="S3" i="1"/>
  <c r="V8" i="1" l="1"/>
  <c r="U9" i="1"/>
  <c r="V6" i="1"/>
  <c r="V9" i="1"/>
  <c r="W6" i="1"/>
  <c r="P4" i="2"/>
  <c r="G4" i="2" s="1"/>
  <c r="V2" i="2"/>
  <c r="W2" i="2"/>
  <c r="U2" i="2"/>
  <c r="U2" i="1"/>
  <c r="W2" i="1"/>
  <c r="V2" i="1"/>
  <c r="U4" i="1"/>
  <c r="V4" i="1"/>
  <c r="T4" i="2" l="1"/>
  <c r="Q4" i="2"/>
  <c r="P5" i="2" s="1"/>
  <c r="G5" i="2" s="1"/>
  <c r="S4" i="2"/>
  <c r="W4" i="2"/>
  <c r="U4" i="2"/>
  <c r="V4" i="2"/>
  <c r="T5" i="2"/>
  <c r="V5" i="2" s="1"/>
  <c r="W5" i="2"/>
  <c r="S5" i="2"/>
  <c r="Q5" i="2"/>
  <c r="P6" i="2" s="1"/>
  <c r="G6" i="2" s="1"/>
  <c r="S6" i="2" l="1"/>
  <c r="Q6" i="2"/>
  <c r="U5" i="2"/>
  <c r="T6" i="2"/>
  <c r="U6" i="2" l="1"/>
  <c r="W6" i="2"/>
  <c r="V6" i="2"/>
  <c r="S3" i="2"/>
  <c r="T3" i="2"/>
  <c r="U3" i="2" s="1"/>
  <c r="V3" i="2" l="1"/>
  <c r="W3" i="2"/>
</calcChain>
</file>

<file path=xl/sharedStrings.xml><?xml version="1.0" encoding="utf-8"?>
<sst xmlns="http://schemas.openxmlformats.org/spreadsheetml/2006/main" count="257" uniqueCount="101">
  <si>
    <t>分类</t>
  </si>
  <si>
    <t>名称</t>
  </si>
  <si>
    <t>ID</t>
  </si>
  <si>
    <t>层级 (Tier)</t>
  </si>
  <si>
    <t>等级上限</t>
  </si>
  <si>
    <t>造价 (Energy)</t>
  </si>
  <si>
    <t>基础产出</t>
  </si>
  <si>
    <t>生产周期 (秒)</t>
  </si>
  <si>
    <t>食物需求关系</t>
  </si>
  <si>
    <t>目标食物</t>
  </si>
  <si>
    <t>捕食压制率</t>
  </si>
  <si>
    <t>饥饿衰减率</t>
  </si>
  <si>
    <t>描述</t>
  </si>
  <si>
    <t>海草藻类</t>
  </si>
  <si>
    <t>光合蓝藻</t>
  </si>
  <si>
    <t>algae</t>
  </si>
  <si>
    <t>无</t>
  </si>
  <si>
    <t>-</t>
  </si>
  <si>
    <t>基础生产者，吸收光能。</t>
  </si>
  <si>
    <t>紫晶海带</t>
  </si>
  <si>
    <t>kelp</t>
  </si>
  <si>
    <t>富含稀有矿物质的植物。</t>
  </si>
  <si>
    <t>浮游软体</t>
  </si>
  <si>
    <t>荧光浮游虫</t>
  </si>
  <si>
    <t>plankton</t>
  </si>
  <si>
    <t>或 (OR)</t>
  </si>
  <si>
    <t>以蓝藻为食。</t>
  </si>
  <si>
    <t>幽灵水母</t>
  </si>
  <si>
    <t>jellyfish</t>
  </si>
  <si>
    <t>荧光浮游虫, 电光虾</t>
  </si>
  <si>
    <t>漂浮的捕食者。</t>
  </si>
  <si>
    <t>甲壳节肢</t>
  </si>
  <si>
    <t>晶石蟹</t>
  </si>
  <si>
    <t>crab</t>
  </si>
  <si>
    <t>坚硬的甲壳，喜爱海带。</t>
  </si>
  <si>
    <t>电光虾</t>
  </si>
  <si>
    <t>shrimp</t>
  </si>
  <si>
    <t>光合蓝藻, 紫晶海带</t>
  </si>
  <si>
    <t>深海鱼类</t>
  </si>
  <si>
    <t>eel</t>
  </si>
  <si>
    <t>与 (AND)</t>
  </si>
  <si>
    <t>挑食的猎手，需丰富食物来源。</t>
  </si>
  <si>
    <t>深海猎手</t>
  </si>
  <si>
    <t>hunter</t>
  </si>
  <si>
    <t>幽灵水母, 装甲海龟</t>
  </si>
  <si>
    <t>凶猛的顶级掠食者。</t>
  </si>
  <si>
    <t>两栖爬行</t>
  </si>
  <si>
    <t>turtle</t>
  </si>
  <si>
    <t>嗜食硬壳蟹类。</t>
  </si>
  <si>
    <t>远古巨兽</t>
  </si>
  <si>
    <t>深渊巨兽</t>
  </si>
  <si>
    <t>leviathan</t>
  </si>
  <si>
    <t>深海猎手, 雷霆鳗</t>
  </si>
  <si>
    <t>深海的霸主，吞噬一切。</t>
  </si>
  <si>
    <t>升级加成 (产量)</t>
  </si>
  <si>
    <t>富余食物加速 (速率)</t>
  </si>
  <si>
    <t>每秒效率</t>
    <phoneticPr fontId="2" type="noConversion"/>
  </si>
  <si>
    <t>满级时间</t>
    <phoneticPr fontId="2" type="noConversion"/>
  </si>
  <si>
    <t>收益/投资</t>
    <phoneticPr fontId="2" type="noConversion"/>
  </si>
  <si>
    <t>回报期</t>
    <phoneticPr fontId="2" type="noConversion"/>
  </si>
  <si>
    <t>/2</t>
    <phoneticPr fontId="2" type="noConversion"/>
  </si>
  <si>
    <t>/3</t>
    <phoneticPr fontId="2" type="noConversion"/>
  </si>
  <si>
    <t>/4</t>
    <phoneticPr fontId="2" type="noConversion"/>
  </si>
  <si>
    <t>满级效率</t>
    <phoneticPr fontId="2" type="noConversion"/>
  </si>
  <si>
    <t xml:space="preserve"> </t>
    <phoneticPr fontId="2" type="noConversion"/>
  </si>
  <si>
    <t>适应力强，可食用多种植物。</t>
    <phoneticPr fontId="2" type="noConversion"/>
  </si>
  <si>
    <t>幽灵水母, 装甲海龟</t>
    <phoneticPr fontId="2" type="noConversion"/>
  </si>
  <si>
    <t>雷霆鳗</t>
    <phoneticPr fontId="2" type="noConversion"/>
  </si>
  <si>
    <t>电光虾, 荧光浮游虫</t>
    <phoneticPr fontId="2" type="noConversion"/>
  </si>
  <si>
    <t>荧光浮游虫, 电光虾</t>
    <phoneticPr fontId="2" type="noConversion"/>
  </si>
  <si>
    <t>晶石蟹，荧光浮游虫</t>
    <phoneticPr fontId="2" type="noConversion"/>
  </si>
  <si>
    <t>装甲海龟</t>
    <phoneticPr fontId="2" type="noConversion"/>
  </si>
  <si>
    <t>主体 (受影响者) \ 邻居 (提供者)</t>
  </si>
  <si>
    <t>蓝藻 (algae)</t>
  </si>
  <si>
    <t>海带 (kelp)</t>
  </si>
  <si>
    <t>浮游虫 (plankton)</t>
  </si>
  <si>
    <t>晶石蟹 (crab)</t>
  </si>
  <si>
    <t>电光虾 (shrimp)</t>
  </si>
  <si>
    <t>水母 (jellyfish)</t>
  </si>
  <si>
    <t>海龟 (turtle)</t>
  </si>
  <si>
    <t>雷霆鳗 (eel)</t>
  </si>
  <si>
    <t>猎手 (hunter)</t>
  </si>
  <si>
    <t>巨兽 (leviathan)</t>
  </si>
  <si>
    <r>
      <t>蓝藻</t>
    </r>
    <r>
      <rPr>
        <sz val="11"/>
        <color rgb="FF1F1F1F"/>
        <rFont val="Arial"/>
        <family val="2"/>
      </rPr>
      <t xml:space="preserve"> (algae)</t>
    </r>
  </si>
  <si>
    <r>
      <t>海带</t>
    </r>
    <r>
      <rPr>
        <sz val="11"/>
        <color rgb="FF1F1F1F"/>
        <rFont val="Arial"/>
        <family val="2"/>
      </rPr>
      <t xml:space="preserve"> (kelp)</t>
    </r>
  </si>
  <si>
    <r>
      <t>浮游虫</t>
    </r>
    <r>
      <rPr>
        <sz val="11"/>
        <color rgb="FF1F1F1F"/>
        <rFont val="Arial"/>
        <family val="2"/>
      </rPr>
      <t xml:space="preserve"> (plankton)</t>
    </r>
  </si>
  <si>
    <r>
      <t>晶石蟹</t>
    </r>
    <r>
      <rPr>
        <sz val="11"/>
        <color rgb="FF1F1F1F"/>
        <rFont val="Arial"/>
        <family val="2"/>
      </rPr>
      <t xml:space="preserve"> (crab)</t>
    </r>
  </si>
  <si>
    <r>
      <t>电光虾</t>
    </r>
    <r>
      <rPr>
        <sz val="11"/>
        <color rgb="FF1F1F1F"/>
        <rFont val="Arial"/>
        <family val="2"/>
      </rPr>
      <t xml:space="preserve"> (shrimp)</t>
    </r>
  </si>
  <si>
    <r>
      <t>水母</t>
    </r>
    <r>
      <rPr>
        <sz val="11"/>
        <color rgb="FF1F1F1F"/>
        <rFont val="Arial"/>
        <family val="2"/>
      </rPr>
      <t xml:space="preserve"> (jellyfish)</t>
    </r>
  </si>
  <si>
    <r>
      <t>海龟</t>
    </r>
    <r>
      <rPr>
        <sz val="11"/>
        <color rgb="FF1F1F1F"/>
        <rFont val="Arial"/>
        <family val="2"/>
      </rPr>
      <t xml:space="preserve"> (turtle)</t>
    </r>
  </si>
  <si>
    <r>
      <t>雷霆鳗</t>
    </r>
    <r>
      <rPr>
        <sz val="11"/>
        <color rgb="FF1F1F1F"/>
        <rFont val="Arial"/>
        <family val="2"/>
      </rPr>
      <t xml:space="preserve"> (eel)</t>
    </r>
  </si>
  <si>
    <r>
      <t>猎手</t>
    </r>
    <r>
      <rPr>
        <sz val="11"/>
        <color rgb="FF1F1F1F"/>
        <rFont val="Arial"/>
        <family val="2"/>
      </rPr>
      <t xml:space="preserve"> (hunter)</t>
    </r>
  </si>
  <si>
    <r>
      <t>巨兽</t>
    </r>
    <r>
      <rPr>
        <sz val="11"/>
        <color rgb="FF1F1F1F"/>
        <rFont val="Arial"/>
        <family val="2"/>
      </rPr>
      <t xml:space="preserve"> (leviathan)</t>
    </r>
  </si>
  <si>
    <t>共生+10%</t>
    <phoneticPr fontId="2" type="noConversion"/>
  </si>
  <si>
    <r>
      <rPr>
        <b/>
        <sz val="11"/>
        <color rgb="FF1F1F1F"/>
        <rFont val="微软雅黑"/>
        <family val="2"/>
        <charset val="134"/>
      </rPr>
      <t>共生</t>
    </r>
    <r>
      <rPr>
        <b/>
        <sz val="11"/>
        <color rgb="FF1F1F1F"/>
        <rFont val="Arial"/>
        <family val="2"/>
      </rPr>
      <t xml:space="preserve"> +25%</t>
    </r>
    <phoneticPr fontId="2" type="noConversion"/>
  </si>
  <si>
    <r>
      <rPr>
        <b/>
        <sz val="11"/>
        <color rgb="FF1F1F1F"/>
        <rFont val="微软雅黑"/>
        <family val="2"/>
        <charset val="134"/>
      </rPr>
      <t>共生</t>
    </r>
    <r>
      <rPr>
        <b/>
        <sz val="11"/>
        <color rgb="FF1F1F1F"/>
        <rFont val="Arial"/>
        <family val="2"/>
      </rPr>
      <t xml:space="preserve"> +30%</t>
    </r>
    <phoneticPr fontId="2" type="noConversion"/>
  </si>
  <si>
    <r>
      <rPr>
        <sz val="11"/>
        <color rgb="FF1F1F1F"/>
        <rFont val="宋体"/>
        <family val="2"/>
        <charset val="134"/>
      </rPr>
      <t>竞争</t>
    </r>
    <r>
      <rPr>
        <sz val="11"/>
        <color rgb="FF1F1F1F"/>
        <rFont val="Arial"/>
        <family val="2"/>
      </rPr>
      <t>-20%</t>
    </r>
    <phoneticPr fontId="2" type="noConversion"/>
  </si>
  <si>
    <r>
      <t>竞争</t>
    </r>
    <r>
      <rPr>
        <sz val="11"/>
        <color rgb="FF1F1F1F"/>
        <rFont val="Arial"/>
        <family val="2"/>
      </rPr>
      <t>-20%</t>
    </r>
  </si>
  <si>
    <r>
      <t>竞争</t>
    </r>
    <r>
      <rPr>
        <sz val="11"/>
        <color rgb="FF1F1F1F"/>
        <rFont val="Arial"/>
        <family val="2"/>
      </rPr>
      <t>-10%</t>
    </r>
    <phoneticPr fontId="2" type="noConversion"/>
  </si>
  <si>
    <r>
      <t>竞争</t>
    </r>
    <r>
      <rPr>
        <sz val="11"/>
        <color rgb="FF1F1F1F"/>
        <rFont val="Arial"/>
        <family val="2"/>
      </rPr>
      <t>-50%</t>
    </r>
    <phoneticPr fontId="2" type="noConversion"/>
  </si>
  <si>
    <t>共生+30%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</si>
</sst>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  <font>
      <sz val="11"/>
      <color rgb="FF1F1F1F"/>
      <name val="宋体"/>
      <family val="3"/>
      <charset val="134"/>
    </font>
    <font>
      <sz val="11"/>
      <color rgb="FF1F1F1F"/>
      <name val="宋体"/>
      <family val="2"/>
      <charset val="134"/>
    </font>
    <font>
      <sz val="11"/>
      <color rgb="FF1F1F1F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10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opLeftCell="A7" zoomScale="85" zoomScaleNormal="85" workbookViewId="0">
      <selection activeCell="X4" sqref="X4"/>
    </sheetView>
  </sheetViews>
  <sheetFormatPr defaultRowHeight="13.8" x14ac:dyDescent="0.25"/>
  <cols>
    <col min="16" max="17" width="10.44140625" customWidth="1"/>
    <col min="19" max="19" width="10.21875" customWidth="1"/>
  </cols>
  <sheetData>
    <row r="1" spans="1:25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54</v>
      </c>
      <c r="J1" s="1" t="s">
        <v>8</v>
      </c>
      <c r="K1" s="1" t="s">
        <v>9</v>
      </c>
      <c r="L1" s="1" t="s">
        <v>55</v>
      </c>
      <c r="M1" s="1" t="s">
        <v>10</v>
      </c>
      <c r="N1" s="1" t="s">
        <v>11</v>
      </c>
      <c r="O1" s="1" t="s">
        <v>12</v>
      </c>
      <c r="P1" s="4" t="s">
        <v>56</v>
      </c>
      <c r="Q1" s="4" t="s">
        <v>63</v>
      </c>
      <c r="R1" s="4" t="s">
        <v>57</v>
      </c>
      <c r="S1" s="4" t="s">
        <v>58</v>
      </c>
      <c r="T1" s="4" t="s">
        <v>59</v>
      </c>
      <c r="U1" s="4" t="s">
        <v>60</v>
      </c>
      <c r="V1" s="4" t="s">
        <v>61</v>
      </c>
      <c r="W1" s="4" t="s">
        <v>62</v>
      </c>
    </row>
    <row r="2" spans="1:25" ht="41.4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4</v>
      </c>
      <c r="F2" s="5">
        <v>40</v>
      </c>
      <c r="G2" s="5">
        <v>5</v>
      </c>
      <c r="H2" s="5">
        <v>2.5</v>
      </c>
      <c r="I2" s="3">
        <v>0.2</v>
      </c>
      <c r="J2" s="2" t="s">
        <v>16</v>
      </c>
      <c r="K2" s="2" t="s">
        <v>17</v>
      </c>
      <c r="L2" s="2" t="s">
        <v>17</v>
      </c>
      <c r="M2" s="3">
        <v>0</v>
      </c>
      <c r="N2" s="2">
        <v>0</v>
      </c>
      <c r="O2" s="2" t="s">
        <v>18</v>
      </c>
      <c r="P2">
        <f t="shared" ref="P2:P11" si="0">G2/H2</f>
        <v>2</v>
      </c>
      <c r="Q2">
        <f>P2*(1+I2*(E2-1))</f>
        <v>3.2</v>
      </c>
      <c r="R2">
        <f t="shared" ref="R2:R11" si="1">E2*H2</f>
        <v>10</v>
      </c>
      <c r="S2">
        <f>P2/F2</f>
        <v>0.05</v>
      </c>
      <c r="T2">
        <f>F2/P2</f>
        <v>20</v>
      </c>
      <c r="U2">
        <f>T2/2</f>
        <v>10</v>
      </c>
      <c r="V2">
        <f>T2/3</f>
        <v>6.666666666666667</v>
      </c>
      <c r="W2">
        <f>T2/4</f>
        <v>5</v>
      </c>
      <c r="Y2">
        <v>6</v>
      </c>
    </row>
    <row r="3" spans="1:25" ht="41.4" x14ac:dyDescent="0.25">
      <c r="A3" s="2" t="s">
        <v>13</v>
      </c>
      <c r="B3" s="2" t="s">
        <v>19</v>
      </c>
      <c r="C3" s="2" t="s">
        <v>20</v>
      </c>
      <c r="D3" s="2">
        <v>1</v>
      </c>
      <c r="E3" s="2">
        <v>4</v>
      </c>
      <c r="F3" s="2">
        <v>60</v>
      </c>
      <c r="G3" s="2">
        <v>10</v>
      </c>
      <c r="H3" s="2">
        <v>4</v>
      </c>
      <c r="I3" s="3">
        <v>0.2</v>
      </c>
      <c r="J3" s="2" t="s">
        <v>16</v>
      </c>
      <c r="K3" s="2" t="s">
        <v>17</v>
      </c>
      <c r="L3" s="2" t="s">
        <v>17</v>
      </c>
      <c r="M3" s="3">
        <v>0</v>
      </c>
      <c r="N3" s="2">
        <v>0</v>
      </c>
      <c r="O3" s="2" t="s">
        <v>21</v>
      </c>
      <c r="P3">
        <f t="shared" si="0"/>
        <v>2.5</v>
      </c>
      <c r="Q3">
        <f t="shared" ref="Q3:Q11" si="2">P3*(1+I3*(E3-1))</f>
        <v>4</v>
      </c>
      <c r="R3">
        <f t="shared" si="1"/>
        <v>16</v>
      </c>
      <c r="S3">
        <f t="shared" ref="S3:S11" si="3">P3/F3</f>
        <v>4.1666666666666664E-2</v>
      </c>
      <c r="T3">
        <f t="shared" ref="T3:T11" si="4">F3/P3</f>
        <v>24</v>
      </c>
      <c r="U3">
        <f t="shared" ref="U3:U11" si="5">T3/2</f>
        <v>12</v>
      </c>
      <c r="V3">
        <f t="shared" ref="V3:V11" si="6">T3/3</f>
        <v>8</v>
      </c>
      <c r="W3">
        <f t="shared" ref="W3:W11" si="7">T3/4</f>
        <v>6</v>
      </c>
      <c r="Y3">
        <v>8</v>
      </c>
    </row>
    <row r="4" spans="1:25" ht="27.6" x14ac:dyDescent="0.25">
      <c r="A4" s="2" t="s">
        <v>22</v>
      </c>
      <c r="B4" s="2" t="s">
        <v>23</v>
      </c>
      <c r="C4" s="2" t="s">
        <v>24</v>
      </c>
      <c r="D4" s="2">
        <v>2</v>
      </c>
      <c r="E4" s="2">
        <v>6</v>
      </c>
      <c r="F4" s="2">
        <v>160</v>
      </c>
      <c r="G4" s="2">
        <v>32</v>
      </c>
      <c r="H4" s="2">
        <v>4</v>
      </c>
      <c r="I4" s="3">
        <v>0.2</v>
      </c>
      <c r="J4" s="2" t="s">
        <v>25</v>
      </c>
      <c r="K4" s="2" t="s">
        <v>14</v>
      </c>
      <c r="L4" s="3">
        <v>0.3</v>
      </c>
      <c r="M4" s="3">
        <v>0.4</v>
      </c>
      <c r="N4" s="2">
        <v>-10</v>
      </c>
      <c r="O4" s="2" t="s">
        <v>26</v>
      </c>
      <c r="P4">
        <f t="shared" si="0"/>
        <v>8</v>
      </c>
      <c r="Q4">
        <f t="shared" si="2"/>
        <v>16</v>
      </c>
      <c r="R4">
        <f t="shared" si="1"/>
        <v>24</v>
      </c>
      <c r="S4">
        <f t="shared" si="3"/>
        <v>0.05</v>
      </c>
      <c r="T4">
        <f t="shared" si="4"/>
        <v>20</v>
      </c>
      <c r="U4">
        <f t="shared" si="5"/>
        <v>10</v>
      </c>
      <c r="V4">
        <f t="shared" si="6"/>
        <v>6.666666666666667</v>
      </c>
      <c r="W4">
        <f t="shared" si="7"/>
        <v>5</v>
      </c>
      <c r="Y4">
        <v>10</v>
      </c>
    </row>
    <row r="5" spans="1:25" ht="41.4" x14ac:dyDescent="0.25">
      <c r="A5" s="2" t="s">
        <v>31</v>
      </c>
      <c r="B5" s="2" t="s">
        <v>32</v>
      </c>
      <c r="C5" s="2" t="s">
        <v>33</v>
      </c>
      <c r="D5" s="2">
        <v>2</v>
      </c>
      <c r="E5" s="2">
        <v>5</v>
      </c>
      <c r="F5" s="2">
        <v>200</v>
      </c>
      <c r="G5" s="2">
        <v>50</v>
      </c>
      <c r="H5" s="2">
        <v>5</v>
      </c>
      <c r="I5" s="3">
        <v>0.2</v>
      </c>
      <c r="J5" s="2" t="s">
        <v>25</v>
      </c>
      <c r="K5" s="2" t="s">
        <v>19</v>
      </c>
      <c r="L5" s="3">
        <v>0.3</v>
      </c>
      <c r="M5" s="3">
        <v>0.4</v>
      </c>
      <c r="N5" s="2">
        <v>-10</v>
      </c>
      <c r="O5" s="2" t="s">
        <v>34</v>
      </c>
      <c r="P5">
        <f t="shared" si="0"/>
        <v>10</v>
      </c>
      <c r="Q5">
        <f t="shared" si="2"/>
        <v>18</v>
      </c>
      <c r="R5">
        <f t="shared" si="1"/>
        <v>25</v>
      </c>
      <c r="S5">
        <f t="shared" si="3"/>
        <v>0.05</v>
      </c>
      <c r="T5">
        <f t="shared" si="4"/>
        <v>20</v>
      </c>
      <c r="U5">
        <f t="shared" si="5"/>
        <v>10</v>
      </c>
      <c r="V5">
        <f t="shared" si="6"/>
        <v>6.666666666666667</v>
      </c>
      <c r="W5">
        <f t="shared" si="7"/>
        <v>5</v>
      </c>
      <c r="Y5">
        <v>12</v>
      </c>
    </row>
    <row r="6" spans="1:25" ht="55.2" x14ac:dyDescent="0.25">
      <c r="A6" s="2" t="s">
        <v>31</v>
      </c>
      <c r="B6" s="2" t="s">
        <v>35</v>
      </c>
      <c r="C6" s="2" t="s">
        <v>36</v>
      </c>
      <c r="D6" s="2">
        <v>2</v>
      </c>
      <c r="E6" s="2">
        <v>8</v>
      </c>
      <c r="F6" s="2">
        <v>200</v>
      </c>
      <c r="G6" s="2">
        <v>24</v>
      </c>
      <c r="H6" s="2">
        <v>3</v>
      </c>
      <c r="I6" s="3">
        <v>0.2</v>
      </c>
      <c r="J6" s="2" t="s">
        <v>25</v>
      </c>
      <c r="K6" s="2" t="s">
        <v>37</v>
      </c>
      <c r="L6" s="3">
        <v>0.3</v>
      </c>
      <c r="M6" s="3">
        <v>0.4</v>
      </c>
      <c r="N6" s="2">
        <v>-12</v>
      </c>
      <c r="O6" s="2" t="s">
        <v>65</v>
      </c>
      <c r="P6">
        <f t="shared" si="0"/>
        <v>8</v>
      </c>
      <c r="Q6">
        <f t="shared" si="2"/>
        <v>19.200000000000003</v>
      </c>
      <c r="R6">
        <f t="shared" si="1"/>
        <v>24</v>
      </c>
      <c r="S6">
        <f t="shared" si="3"/>
        <v>0.04</v>
      </c>
      <c r="T6">
        <f t="shared" si="4"/>
        <v>25</v>
      </c>
      <c r="U6">
        <f t="shared" si="5"/>
        <v>12.5</v>
      </c>
      <c r="V6">
        <f t="shared" si="6"/>
        <v>8.3333333333333339</v>
      </c>
      <c r="W6">
        <f t="shared" si="7"/>
        <v>6.25</v>
      </c>
    </row>
    <row r="7" spans="1:25" ht="41.4" x14ac:dyDescent="0.25">
      <c r="A7" s="2" t="s">
        <v>22</v>
      </c>
      <c r="B7" s="2" t="s">
        <v>27</v>
      </c>
      <c r="C7" s="2" t="s">
        <v>28</v>
      </c>
      <c r="D7" s="2">
        <v>3</v>
      </c>
      <c r="E7" s="2">
        <v>8</v>
      </c>
      <c r="F7" s="2">
        <v>800</v>
      </c>
      <c r="G7" s="2">
        <v>240</v>
      </c>
      <c r="H7" s="2">
        <v>6</v>
      </c>
      <c r="I7" s="3">
        <v>0.2</v>
      </c>
      <c r="J7" s="2" t="s">
        <v>25</v>
      </c>
      <c r="K7" s="2" t="s">
        <v>69</v>
      </c>
      <c r="L7" s="3">
        <v>0.3</v>
      </c>
      <c r="M7" s="3">
        <v>0.6</v>
      </c>
      <c r="N7" s="2">
        <v>-15</v>
      </c>
      <c r="O7" s="2" t="s">
        <v>30</v>
      </c>
      <c r="P7">
        <f t="shared" si="0"/>
        <v>40</v>
      </c>
      <c r="Q7">
        <f t="shared" si="2"/>
        <v>96.000000000000014</v>
      </c>
      <c r="R7">
        <f t="shared" si="1"/>
        <v>48</v>
      </c>
      <c r="S7">
        <f t="shared" si="3"/>
        <v>0.05</v>
      </c>
      <c r="T7">
        <f t="shared" si="4"/>
        <v>20</v>
      </c>
      <c r="U7">
        <f t="shared" si="5"/>
        <v>10</v>
      </c>
      <c r="V7">
        <f t="shared" si="6"/>
        <v>6.666666666666667</v>
      </c>
      <c r="W7">
        <f t="shared" si="7"/>
        <v>5</v>
      </c>
    </row>
    <row r="8" spans="1:25" ht="41.4" x14ac:dyDescent="0.25">
      <c r="A8" s="2" t="s">
        <v>46</v>
      </c>
      <c r="B8" s="2" t="s">
        <v>71</v>
      </c>
      <c r="C8" s="2" t="s">
        <v>47</v>
      </c>
      <c r="D8" s="2">
        <v>3</v>
      </c>
      <c r="E8" s="2">
        <v>20</v>
      </c>
      <c r="F8" s="2">
        <v>1200</v>
      </c>
      <c r="G8" s="2">
        <v>300</v>
      </c>
      <c r="H8" s="2">
        <v>8</v>
      </c>
      <c r="I8" s="3">
        <v>0.2</v>
      </c>
      <c r="J8" s="2" t="s">
        <v>25</v>
      </c>
      <c r="K8" s="2" t="s">
        <v>70</v>
      </c>
      <c r="L8" s="3">
        <v>0.3</v>
      </c>
      <c r="M8" s="3">
        <v>0</v>
      </c>
      <c r="N8" s="2">
        <v>-10</v>
      </c>
      <c r="O8" s="2" t="s">
        <v>48</v>
      </c>
      <c r="P8">
        <f t="shared" si="0"/>
        <v>37.5</v>
      </c>
      <c r="Q8">
        <f t="shared" si="2"/>
        <v>180.00000000000003</v>
      </c>
      <c r="R8">
        <f t="shared" si="1"/>
        <v>160</v>
      </c>
      <c r="S8">
        <f t="shared" si="3"/>
        <v>3.125E-2</v>
      </c>
      <c r="T8">
        <f t="shared" si="4"/>
        <v>32</v>
      </c>
      <c r="U8">
        <f t="shared" si="5"/>
        <v>16</v>
      </c>
      <c r="V8">
        <f t="shared" si="6"/>
        <v>10.666666666666666</v>
      </c>
      <c r="W8">
        <f t="shared" si="7"/>
        <v>8</v>
      </c>
    </row>
    <row r="9" spans="1:25" ht="55.2" x14ac:dyDescent="0.25">
      <c r="A9" s="2" t="s">
        <v>38</v>
      </c>
      <c r="B9" s="2" t="s">
        <v>67</v>
      </c>
      <c r="C9" s="2" t="s">
        <v>39</v>
      </c>
      <c r="D9" s="2">
        <v>3</v>
      </c>
      <c r="E9" s="2">
        <v>12</v>
      </c>
      <c r="F9" s="2">
        <v>800</v>
      </c>
      <c r="G9" s="2">
        <v>140</v>
      </c>
      <c r="H9" s="2">
        <v>4</v>
      </c>
      <c r="I9" s="3">
        <v>0.2</v>
      </c>
      <c r="J9" s="2" t="s">
        <v>40</v>
      </c>
      <c r="K9" s="2" t="s">
        <v>68</v>
      </c>
      <c r="L9" s="3">
        <v>0.3</v>
      </c>
      <c r="M9" s="3">
        <v>0.6</v>
      </c>
      <c r="N9" s="2">
        <v>-18</v>
      </c>
      <c r="O9" s="2" t="s">
        <v>41</v>
      </c>
      <c r="P9">
        <f t="shared" si="0"/>
        <v>35</v>
      </c>
      <c r="Q9">
        <f t="shared" si="2"/>
        <v>112</v>
      </c>
      <c r="R9">
        <f t="shared" si="1"/>
        <v>48</v>
      </c>
      <c r="S9">
        <f t="shared" si="3"/>
        <v>4.3749999999999997E-2</v>
      </c>
      <c r="T9">
        <f t="shared" si="4"/>
        <v>22.857142857142858</v>
      </c>
      <c r="U9">
        <f t="shared" si="5"/>
        <v>11.428571428571429</v>
      </c>
      <c r="V9">
        <f t="shared" si="6"/>
        <v>7.6190476190476195</v>
      </c>
      <c r="W9">
        <f t="shared" si="7"/>
        <v>5.7142857142857144</v>
      </c>
    </row>
    <row r="10" spans="1:25" ht="41.4" x14ac:dyDescent="0.25">
      <c r="A10" s="2" t="s">
        <v>38</v>
      </c>
      <c r="B10" s="2" t="s">
        <v>42</v>
      </c>
      <c r="C10" s="2" t="s">
        <v>43</v>
      </c>
      <c r="D10" s="2">
        <v>4</v>
      </c>
      <c r="E10" s="2">
        <v>10</v>
      </c>
      <c r="F10" s="2">
        <v>2400</v>
      </c>
      <c r="G10" s="2">
        <v>600</v>
      </c>
      <c r="H10" s="2">
        <v>6</v>
      </c>
      <c r="I10" s="3">
        <v>0.2</v>
      </c>
      <c r="J10" s="2" t="s">
        <v>40</v>
      </c>
      <c r="K10" s="2" t="s">
        <v>66</v>
      </c>
      <c r="L10" s="3">
        <v>0.3</v>
      </c>
      <c r="M10" s="3">
        <v>0.8</v>
      </c>
      <c r="N10" s="2">
        <v>-20</v>
      </c>
      <c r="O10" s="2" t="s">
        <v>45</v>
      </c>
      <c r="P10">
        <f t="shared" si="0"/>
        <v>100</v>
      </c>
      <c r="Q10">
        <f t="shared" si="2"/>
        <v>280</v>
      </c>
      <c r="R10">
        <f t="shared" si="1"/>
        <v>60</v>
      </c>
      <c r="S10">
        <f t="shared" si="3"/>
        <v>4.1666666666666664E-2</v>
      </c>
      <c r="T10">
        <f t="shared" si="4"/>
        <v>24</v>
      </c>
      <c r="U10">
        <f t="shared" si="5"/>
        <v>12</v>
      </c>
      <c r="V10">
        <f t="shared" si="6"/>
        <v>8</v>
      </c>
      <c r="W10">
        <f t="shared" si="7"/>
        <v>6</v>
      </c>
    </row>
    <row r="11" spans="1:25" ht="41.4" x14ac:dyDescent="0.25">
      <c r="A11" s="2" t="s">
        <v>49</v>
      </c>
      <c r="B11" s="2" t="s">
        <v>50</v>
      </c>
      <c r="C11" s="2" t="s">
        <v>51</v>
      </c>
      <c r="D11" s="2">
        <v>5</v>
      </c>
      <c r="E11" s="2">
        <v>10</v>
      </c>
      <c r="F11" s="2">
        <v>4800.0000000000009</v>
      </c>
      <c r="G11" s="2">
        <v>1920.0000000000002</v>
      </c>
      <c r="H11" s="2">
        <v>8</v>
      </c>
      <c r="I11" s="3">
        <v>0.2</v>
      </c>
      <c r="J11" s="2" t="s">
        <v>40</v>
      </c>
      <c r="K11" s="2" t="s">
        <v>52</v>
      </c>
      <c r="L11" s="3">
        <v>0.3</v>
      </c>
      <c r="M11" s="3">
        <v>0.9</v>
      </c>
      <c r="N11" s="2">
        <v>-30</v>
      </c>
      <c r="O11" s="2" t="s">
        <v>53</v>
      </c>
      <c r="P11">
        <f t="shared" si="0"/>
        <v>240.00000000000003</v>
      </c>
      <c r="Q11">
        <f t="shared" si="2"/>
        <v>672</v>
      </c>
      <c r="R11">
        <f t="shared" si="1"/>
        <v>80</v>
      </c>
      <c r="S11">
        <f t="shared" si="3"/>
        <v>4.9999999999999996E-2</v>
      </c>
      <c r="T11">
        <f t="shared" si="4"/>
        <v>20</v>
      </c>
      <c r="U11">
        <f t="shared" si="5"/>
        <v>10</v>
      </c>
      <c r="V11">
        <f t="shared" si="6"/>
        <v>6.666666666666667</v>
      </c>
      <c r="W11">
        <f t="shared" si="7"/>
        <v>5</v>
      </c>
    </row>
  </sheetData>
  <sortState xmlns:xlrd2="http://schemas.microsoft.com/office/spreadsheetml/2017/richdata2" ref="A2:R11">
    <sortCondition ref="F2:F11"/>
  </sortState>
  <phoneticPr fontId="2" type="noConversion"/>
  <conditionalFormatting sqref="P2:Q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9D4F-AE05-4731-995D-C5D3B1818C9C}">
  <dimension ref="A1:K11"/>
  <sheetViews>
    <sheetView tabSelected="1" topLeftCell="A7" workbookViewId="0">
      <selection activeCell="C9" sqref="C9"/>
    </sheetView>
  </sheetViews>
  <sheetFormatPr defaultRowHeight="13.8" x14ac:dyDescent="0.25"/>
  <sheetData>
    <row r="1" spans="1:11" ht="55.8" thickBot="1" x14ac:dyDescent="0.3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80</v>
      </c>
      <c r="J1" s="6" t="s">
        <v>81</v>
      </c>
      <c r="K1" s="6" t="s">
        <v>82</v>
      </c>
    </row>
    <row r="2" spans="1:11" ht="28.2" thickBot="1" x14ac:dyDescent="0.3">
      <c r="A2" s="6" t="s">
        <v>83</v>
      </c>
      <c r="B2" s="8"/>
      <c r="C2" s="9" t="s">
        <v>93</v>
      </c>
      <c r="D2" s="7" t="s">
        <v>17</v>
      </c>
      <c r="E2" s="7" t="s">
        <v>17</v>
      </c>
      <c r="F2" s="7" t="s">
        <v>17</v>
      </c>
      <c r="G2" s="7" t="s">
        <v>17</v>
      </c>
      <c r="H2" s="7" t="s">
        <v>17</v>
      </c>
      <c r="I2" s="7" t="s">
        <v>17</v>
      </c>
      <c r="J2" s="7" t="s">
        <v>17</v>
      </c>
      <c r="K2" s="7" t="s">
        <v>17</v>
      </c>
    </row>
    <row r="3" spans="1:11" ht="30.6" thickBot="1" x14ac:dyDescent="0.3">
      <c r="A3" s="6" t="s">
        <v>84</v>
      </c>
      <c r="B3" s="9" t="s">
        <v>93</v>
      </c>
      <c r="C3" s="7" t="s">
        <v>17</v>
      </c>
      <c r="D3" s="7" t="s">
        <v>17</v>
      </c>
      <c r="E3" s="7" t="s">
        <v>17</v>
      </c>
      <c r="F3" s="7" t="s">
        <v>17</v>
      </c>
      <c r="G3" s="7" t="s">
        <v>17</v>
      </c>
      <c r="H3" s="7" t="s">
        <v>17</v>
      </c>
      <c r="I3" s="8" t="s">
        <v>95</v>
      </c>
      <c r="J3" s="7" t="s">
        <v>17</v>
      </c>
      <c r="K3" s="7" t="s">
        <v>17</v>
      </c>
    </row>
    <row r="4" spans="1:11" ht="42" thickBot="1" x14ac:dyDescent="0.3">
      <c r="A4" s="6" t="s">
        <v>85</v>
      </c>
      <c r="B4" s="7" t="s">
        <v>17</v>
      </c>
      <c r="C4" s="7" t="s">
        <v>17</v>
      </c>
      <c r="D4" s="11" t="s">
        <v>98</v>
      </c>
      <c r="E4" s="7" t="s">
        <v>17</v>
      </c>
      <c r="F4" s="7" t="s">
        <v>17</v>
      </c>
      <c r="G4" s="7" t="s">
        <v>17</v>
      </c>
      <c r="H4" s="7" t="s">
        <v>17</v>
      </c>
      <c r="I4" s="7" t="s">
        <v>17</v>
      </c>
      <c r="J4" s="7" t="s">
        <v>17</v>
      </c>
      <c r="K4" s="7" t="s">
        <v>17</v>
      </c>
    </row>
    <row r="5" spans="1:11" ht="30.6" thickBot="1" x14ac:dyDescent="0.3">
      <c r="A5" s="6" t="s">
        <v>86</v>
      </c>
      <c r="B5" s="7" t="s">
        <v>17</v>
      </c>
      <c r="C5" s="7" t="s">
        <v>17</v>
      </c>
      <c r="D5" s="7" t="s">
        <v>17</v>
      </c>
      <c r="E5" s="7" t="s">
        <v>17</v>
      </c>
      <c r="F5" s="8" t="s">
        <v>94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</row>
    <row r="6" spans="1:11" ht="30.6" thickBot="1" x14ac:dyDescent="0.3">
      <c r="A6" s="6" t="s">
        <v>87</v>
      </c>
      <c r="B6" s="7" t="s">
        <v>17</v>
      </c>
      <c r="C6" s="7" t="s">
        <v>17</v>
      </c>
      <c r="D6" s="7" t="s">
        <v>17</v>
      </c>
      <c r="E6" s="8" t="s">
        <v>94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</row>
    <row r="7" spans="1:11" ht="28.8" thickBot="1" x14ac:dyDescent="0.3">
      <c r="A7" s="6" t="s">
        <v>88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9" t="s">
        <v>93</v>
      </c>
      <c r="H7" s="7" t="s">
        <v>17</v>
      </c>
      <c r="I7" s="11" t="s">
        <v>97</v>
      </c>
      <c r="J7" s="7" t="s">
        <v>17</v>
      </c>
      <c r="K7" s="7" t="s">
        <v>17</v>
      </c>
    </row>
    <row r="8" spans="1:11" ht="28.2" thickBot="1" x14ac:dyDescent="0.3">
      <c r="A8" s="6" t="s">
        <v>89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9"/>
      <c r="H8" s="7" t="s">
        <v>17</v>
      </c>
      <c r="I8" s="7" t="s">
        <v>17</v>
      </c>
      <c r="J8" s="7" t="s">
        <v>17</v>
      </c>
      <c r="K8" s="7" t="s">
        <v>17</v>
      </c>
    </row>
    <row r="9" spans="1:11" ht="28.8" thickBot="1" x14ac:dyDescent="0.3">
      <c r="A9" s="6" t="s">
        <v>90</v>
      </c>
      <c r="B9" s="7" t="s">
        <v>17</v>
      </c>
      <c r="D9" s="7" t="s">
        <v>17</v>
      </c>
      <c r="E9" s="7" t="s">
        <v>17</v>
      </c>
      <c r="F9" s="7" t="s">
        <v>17</v>
      </c>
      <c r="G9" s="10" t="s">
        <v>96</v>
      </c>
      <c r="H9" s="7" t="s">
        <v>17</v>
      </c>
      <c r="I9" s="7" t="s">
        <v>17</v>
      </c>
      <c r="J9" s="7" t="s">
        <v>17</v>
      </c>
      <c r="K9" s="7" t="s">
        <v>17</v>
      </c>
    </row>
    <row r="10" spans="1:11" ht="28.2" thickBot="1" x14ac:dyDescent="0.3">
      <c r="A10" s="6" t="s">
        <v>91</v>
      </c>
      <c r="B10" s="9" t="s">
        <v>100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9"/>
      <c r="K10" s="7" t="s">
        <v>17</v>
      </c>
    </row>
    <row r="11" spans="1:11" ht="42" thickBot="1" x14ac:dyDescent="0.3">
      <c r="A11" s="6" t="s">
        <v>92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11" t="s">
        <v>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9CFD-AF14-4B39-9492-4925A1ED9BAE}">
  <dimension ref="A1:Y10"/>
  <sheetViews>
    <sheetView zoomScale="85" zoomScaleNormal="85" workbookViewId="0">
      <selection activeCell="F13" sqref="F13"/>
    </sheetView>
  </sheetViews>
  <sheetFormatPr defaultRowHeight="13.8" x14ac:dyDescent="0.25"/>
  <cols>
    <col min="16" max="17" width="10.44140625" customWidth="1"/>
    <col min="19" max="19" width="10.21875" customWidth="1"/>
  </cols>
  <sheetData>
    <row r="1" spans="1:25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54</v>
      </c>
      <c r="J1" s="1" t="s">
        <v>8</v>
      </c>
      <c r="K1" s="1" t="s">
        <v>9</v>
      </c>
      <c r="L1" s="1" t="s">
        <v>55</v>
      </c>
      <c r="M1" s="1" t="s">
        <v>10</v>
      </c>
      <c r="N1" s="1" t="s">
        <v>11</v>
      </c>
      <c r="O1" s="1" t="s">
        <v>12</v>
      </c>
      <c r="P1" s="4" t="s">
        <v>56</v>
      </c>
      <c r="Q1" s="4" t="s">
        <v>63</v>
      </c>
      <c r="R1" s="4" t="s">
        <v>57</v>
      </c>
      <c r="S1" s="4" t="s">
        <v>58</v>
      </c>
      <c r="T1" s="4" t="s">
        <v>59</v>
      </c>
      <c r="U1" s="4" t="s">
        <v>60</v>
      </c>
      <c r="V1" s="4" t="s">
        <v>61</v>
      </c>
      <c r="W1" s="4" t="s">
        <v>62</v>
      </c>
    </row>
    <row r="2" spans="1:25" ht="41.4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4</v>
      </c>
      <c r="F2" s="5">
        <v>40</v>
      </c>
      <c r="G2" s="5">
        <v>5</v>
      </c>
      <c r="H2" s="5">
        <v>2.5</v>
      </c>
      <c r="I2" s="3">
        <v>0.2</v>
      </c>
      <c r="J2" s="2" t="s">
        <v>16</v>
      </c>
      <c r="K2" s="2" t="s">
        <v>17</v>
      </c>
      <c r="L2" s="2" t="s">
        <v>17</v>
      </c>
      <c r="M2" s="3">
        <v>0</v>
      </c>
      <c r="N2" s="2">
        <v>0</v>
      </c>
      <c r="O2" s="2" t="s">
        <v>18</v>
      </c>
      <c r="P2">
        <f>G2/H2</f>
        <v>2</v>
      </c>
      <c r="Q2">
        <f>P2*(1+I2*(E2-1))</f>
        <v>3.2</v>
      </c>
      <c r="R2">
        <f>E2*H2</f>
        <v>10</v>
      </c>
      <c r="S2">
        <f>P2/F2</f>
        <v>0.05</v>
      </c>
      <c r="T2">
        <f>F2/P2</f>
        <v>20</v>
      </c>
      <c r="U2">
        <f>T2/2</f>
        <v>10</v>
      </c>
      <c r="V2">
        <f>T2/3</f>
        <v>6.666666666666667</v>
      </c>
      <c r="W2">
        <f>T2/4</f>
        <v>5</v>
      </c>
      <c r="Y2">
        <v>6</v>
      </c>
    </row>
    <row r="3" spans="1:25" ht="27.6" x14ac:dyDescent="0.25">
      <c r="A3" s="2" t="s">
        <v>22</v>
      </c>
      <c r="B3" s="2" t="s">
        <v>23</v>
      </c>
      <c r="C3" s="2" t="s">
        <v>24</v>
      </c>
      <c r="D3" s="2">
        <v>2</v>
      </c>
      <c r="E3" s="2">
        <v>6</v>
      </c>
      <c r="F3" s="2">
        <f>20*P3</f>
        <v>160</v>
      </c>
      <c r="G3" s="2">
        <f>H3*P3</f>
        <v>32</v>
      </c>
      <c r="H3" s="2">
        <v>4</v>
      </c>
      <c r="I3" s="3">
        <v>0.2</v>
      </c>
      <c r="J3" s="2" t="s">
        <v>25</v>
      </c>
      <c r="K3" s="2" t="s">
        <v>14</v>
      </c>
      <c r="L3" s="3">
        <v>0.3</v>
      </c>
      <c r="M3" s="3">
        <v>0.6</v>
      </c>
      <c r="N3" s="2">
        <v>-10</v>
      </c>
      <c r="O3" s="2" t="s">
        <v>26</v>
      </c>
      <c r="P3">
        <f>Q2*2.5</f>
        <v>8</v>
      </c>
      <c r="Q3">
        <f t="shared" ref="Q3:Q6" si="0">P3*(1+I3*(E3-1))</f>
        <v>16</v>
      </c>
      <c r="R3">
        <f>E3*H3</f>
        <v>24</v>
      </c>
      <c r="S3">
        <f t="shared" ref="S3:S6" si="1">P3/F3</f>
        <v>0.05</v>
      </c>
      <c r="T3">
        <f t="shared" ref="T3:T6" si="2">F3/P3</f>
        <v>20</v>
      </c>
      <c r="U3">
        <f t="shared" ref="U3:U6" si="3">T3/2</f>
        <v>10</v>
      </c>
      <c r="V3">
        <f t="shared" ref="V3:V6" si="4">T3/3</f>
        <v>6.666666666666667</v>
      </c>
      <c r="W3">
        <f t="shared" ref="W3:W6" si="5">T3/4</f>
        <v>5</v>
      </c>
      <c r="Y3">
        <v>10</v>
      </c>
    </row>
    <row r="4" spans="1:25" ht="41.4" x14ac:dyDescent="0.25">
      <c r="A4" s="2" t="s">
        <v>22</v>
      </c>
      <c r="B4" s="2" t="s">
        <v>27</v>
      </c>
      <c r="C4" s="2" t="s">
        <v>28</v>
      </c>
      <c r="D4" s="2">
        <v>3</v>
      </c>
      <c r="E4" s="2">
        <v>8</v>
      </c>
      <c r="F4" s="2">
        <f t="shared" ref="F4:F6" si="6">20*P4</f>
        <v>800</v>
      </c>
      <c r="G4" s="2">
        <f t="shared" ref="G4:G6" si="7">H4*P4</f>
        <v>240</v>
      </c>
      <c r="H4" s="2">
        <v>6</v>
      </c>
      <c r="I4" s="3">
        <v>0.2</v>
      </c>
      <c r="J4" s="2" t="s">
        <v>25</v>
      </c>
      <c r="K4" s="2" t="s">
        <v>29</v>
      </c>
      <c r="L4" s="3">
        <v>0.3</v>
      </c>
      <c r="M4" s="3">
        <v>0.8</v>
      </c>
      <c r="N4" s="2">
        <v>-15</v>
      </c>
      <c r="O4" s="2" t="s">
        <v>30</v>
      </c>
      <c r="P4">
        <f t="shared" ref="P4:P6" si="8">Q3*2.5</f>
        <v>40</v>
      </c>
      <c r="Q4">
        <f t="shared" si="0"/>
        <v>96.000000000000014</v>
      </c>
      <c r="R4">
        <f>E4*H4</f>
        <v>48</v>
      </c>
      <c r="S4">
        <f t="shared" si="1"/>
        <v>0.05</v>
      </c>
      <c r="T4">
        <f t="shared" si="2"/>
        <v>20</v>
      </c>
      <c r="U4">
        <f t="shared" si="3"/>
        <v>10</v>
      </c>
      <c r="V4">
        <f t="shared" si="4"/>
        <v>6.666666666666667</v>
      </c>
      <c r="W4">
        <f t="shared" si="5"/>
        <v>5</v>
      </c>
    </row>
    <row r="5" spans="1:25" ht="41.4" x14ac:dyDescent="0.25">
      <c r="A5" s="2" t="s">
        <v>38</v>
      </c>
      <c r="B5" s="2" t="s">
        <v>42</v>
      </c>
      <c r="C5" s="2" t="s">
        <v>43</v>
      </c>
      <c r="D5" s="2">
        <v>4</v>
      </c>
      <c r="E5" s="2">
        <v>10</v>
      </c>
      <c r="F5" s="2">
        <f t="shared" si="6"/>
        <v>4800.0000000000009</v>
      </c>
      <c r="G5" s="2">
        <f t="shared" si="7"/>
        <v>1920.0000000000002</v>
      </c>
      <c r="H5" s="2">
        <v>8</v>
      </c>
      <c r="I5" s="3">
        <v>0.2</v>
      </c>
      <c r="J5" s="2" t="s">
        <v>25</v>
      </c>
      <c r="K5" s="2" t="s">
        <v>44</v>
      </c>
      <c r="L5" s="3">
        <v>0.3</v>
      </c>
      <c r="M5" s="3">
        <v>0.9</v>
      </c>
      <c r="N5" s="2">
        <v>-20</v>
      </c>
      <c r="O5" s="2" t="s">
        <v>45</v>
      </c>
      <c r="P5">
        <f t="shared" si="8"/>
        <v>240.00000000000003</v>
      </c>
      <c r="Q5">
        <f t="shared" si="0"/>
        <v>672</v>
      </c>
      <c r="R5">
        <f>E5*H5</f>
        <v>80</v>
      </c>
      <c r="S5">
        <f t="shared" si="1"/>
        <v>4.9999999999999996E-2</v>
      </c>
      <c r="T5">
        <f t="shared" si="2"/>
        <v>20</v>
      </c>
      <c r="U5">
        <f t="shared" si="3"/>
        <v>10</v>
      </c>
      <c r="V5">
        <f t="shared" si="4"/>
        <v>6.666666666666667</v>
      </c>
      <c r="W5">
        <f t="shared" si="5"/>
        <v>5</v>
      </c>
    </row>
    <row r="6" spans="1:25" ht="41.4" x14ac:dyDescent="0.25">
      <c r="A6" s="2" t="s">
        <v>49</v>
      </c>
      <c r="B6" s="2" t="s">
        <v>50</v>
      </c>
      <c r="C6" s="2" t="s">
        <v>51</v>
      </c>
      <c r="D6" s="2">
        <v>5</v>
      </c>
      <c r="E6" s="2">
        <v>12</v>
      </c>
      <c r="F6" s="2">
        <f t="shared" si="6"/>
        <v>33600</v>
      </c>
      <c r="G6" s="2">
        <f t="shared" si="7"/>
        <v>16800</v>
      </c>
      <c r="H6" s="2">
        <v>10</v>
      </c>
      <c r="I6" s="3">
        <v>0.2</v>
      </c>
      <c r="J6" s="2" t="s">
        <v>40</v>
      </c>
      <c r="K6" s="2" t="s">
        <v>52</v>
      </c>
      <c r="L6" s="3">
        <v>0.3</v>
      </c>
      <c r="M6" s="3">
        <v>1</v>
      </c>
      <c r="N6" s="2">
        <v>-30</v>
      </c>
      <c r="O6" s="2" t="s">
        <v>53</v>
      </c>
      <c r="P6">
        <f t="shared" si="8"/>
        <v>1680</v>
      </c>
      <c r="Q6">
        <f t="shared" si="0"/>
        <v>5376</v>
      </c>
      <c r="R6">
        <f>E6*H6</f>
        <v>120</v>
      </c>
      <c r="S6">
        <f t="shared" si="1"/>
        <v>0.05</v>
      </c>
      <c r="T6">
        <f t="shared" si="2"/>
        <v>20</v>
      </c>
      <c r="U6">
        <f t="shared" si="3"/>
        <v>10</v>
      </c>
      <c r="V6">
        <f t="shared" si="4"/>
        <v>6.666666666666667</v>
      </c>
      <c r="W6">
        <f t="shared" si="5"/>
        <v>5</v>
      </c>
    </row>
    <row r="10" spans="1:25" x14ac:dyDescent="0.25">
      <c r="P10" t="s">
        <v>64</v>
      </c>
    </row>
  </sheetData>
  <phoneticPr fontId="2" type="noConversion"/>
  <conditionalFormatting sqref="P2:Q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何睿骅</dc:creator>
  <cp:lastModifiedBy>睿骅 何</cp:lastModifiedBy>
  <dcterms:created xsi:type="dcterms:W3CDTF">2015-06-05T18:19:34Z</dcterms:created>
  <dcterms:modified xsi:type="dcterms:W3CDTF">2025-11-27T02:38:28Z</dcterms:modified>
</cp:coreProperties>
</file>